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複核" sheetId="1" state="visible" r:id="rId1"/>
    <sheet xmlns:r="http://schemas.openxmlformats.org/officeDocument/2006/relationships" name="Kevin模型" sheetId="2" state="visible" r:id="rId2"/>
    <sheet xmlns:r="http://schemas.openxmlformats.org/officeDocument/2006/relationships" name="同業" sheetId="3" state="visible" r:id="rId3"/>
    <sheet xmlns:r="http://schemas.openxmlformats.org/officeDocument/2006/relationships" name="來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</fonts>
  <fills count="4">
    <fill>
      <patternFill/>
    </fill>
    <fill>
      <patternFill patternType="gray125"/>
    </fill>
    <fill>
      <patternFill patternType="solid">
        <fgColor rgb="000B7A87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2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30" customWidth="1" min="5" max="5"/>
    <col width="14" customWidth="1" min="6" max="6"/>
    <col width="26" customWidth="1" min="7" max="7"/>
  </cols>
  <sheetData>
    <row r="1">
      <c r="A1" s="1" t="inlineStr">
        <is>
          <t>項目</t>
        </is>
      </c>
      <c r="B1" s="1" t="inlineStr">
        <is>
          <t>115H1（千元）</t>
        </is>
      </c>
      <c r="C1" s="1" t="inlineStr">
        <is>
          <t>115Q2（千元）</t>
        </is>
      </c>
      <c r="D1" s="1" t="inlineStr">
        <is>
          <t>114H1（千元）</t>
        </is>
      </c>
      <c r="E1" s="1" t="inlineStr">
        <is>
          <t>頁碼（115Q2 合併財報）</t>
        </is>
      </c>
      <c r="F1" s="1" t="inlineStr">
        <is>
          <t>workbook 值</t>
        </is>
      </c>
      <c r="G1" s="1" t="inlineStr">
        <is>
          <t>差異</t>
        </is>
      </c>
    </row>
    <row r="2">
      <c r="A2" s="2" t="inlineStr">
        <is>
          <t>營業收入</t>
        </is>
      </c>
      <c r="B2" s="3" t="n">
        <v>21333559</v>
      </c>
      <c r="C2" s="3" t="n">
        <v>11141616</v>
      </c>
      <c r="D2" s="3" t="n">
        <v>15677364</v>
      </c>
      <c r="E2" s="2" t="inlineStr">
        <is>
          <t>p.7 代碼4000</t>
        </is>
      </c>
      <c r="F2" s="2" t="n">
        <v>21333559</v>
      </c>
      <c r="G2" s="2" t="inlineStr">
        <is>
          <t>一致</t>
        </is>
      </c>
    </row>
    <row r="3">
      <c r="A3" s="2" t="inlineStr">
        <is>
          <t>營業毛利</t>
        </is>
      </c>
      <c r="B3" s="3" t="n">
        <v>8450706</v>
      </c>
      <c r="C3" s="3" t="n">
        <v>4400123</v>
      </c>
      <c r="D3" s="3" t="n">
        <v>5421940</v>
      </c>
      <c r="E3" s="2" t="inlineStr">
        <is>
          <t>p.7 代碼5900</t>
        </is>
      </c>
      <c r="F3" s="2" t="n"/>
      <c r="G3" s="2" t="inlineStr"/>
    </row>
    <row r="4">
      <c r="A4" s="2" t="inlineStr">
        <is>
          <t>毛利率</t>
        </is>
      </c>
      <c r="B4" s="4">
        <f>B3/B2</f>
        <v/>
      </c>
      <c r="C4" s="4">
        <f>C3/C2</f>
        <v/>
      </c>
      <c r="D4" s="4">
        <f>D3/D2</f>
        <v/>
      </c>
      <c r="E4" s="2" t="inlineStr">
        <is>
          <t>計算</t>
        </is>
      </c>
      <c r="F4" s="2" t="inlineStr">
        <is>
          <t>39.6%</t>
        </is>
      </c>
      <c r="G4" s="2" t="inlineStr">
        <is>
          <t>一致</t>
        </is>
      </c>
    </row>
    <row r="5">
      <c r="A5" s="2" t="inlineStr">
        <is>
          <t>營業利益</t>
        </is>
      </c>
      <c r="B5" s="3" t="n">
        <v>5599760</v>
      </c>
      <c r="C5" s="3" t="n">
        <v>2827802</v>
      </c>
      <c r="D5" s="3" t="n">
        <v>3698857</v>
      </c>
      <c r="E5" s="2" t="inlineStr">
        <is>
          <t>p.7 代碼6900</t>
        </is>
      </c>
      <c r="F5" s="2" t="n"/>
      <c r="G5" s="2" t="inlineStr"/>
    </row>
    <row r="6">
      <c r="A6" s="2" t="inlineStr">
        <is>
          <t>稅前淨利</t>
        </is>
      </c>
      <c r="B6" s="3" t="n">
        <v>5884206</v>
      </c>
      <c r="C6" s="3" t="n">
        <v>3075926</v>
      </c>
      <c r="D6" s="3" t="n">
        <v>4787448</v>
      </c>
      <c r="E6" s="2" t="inlineStr">
        <is>
          <t>p.7 代碼7900</t>
        </is>
      </c>
      <c r="F6" s="2" t="n"/>
      <c r="G6" s="2" t="inlineStr"/>
    </row>
    <row r="7">
      <c r="A7" s="2" t="inlineStr">
        <is>
          <t>所得稅</t>
        </is>
      </c>
      <c r="B7" s="3" t="n">
        <v>1106018</v>
      </c>
      <c r="C7" s="3" t="n">
        <v>584283</v>
      </c>
      <c r="D7" s="3" t="n">
        <v>1333047</v>
      </c>
      <c r="E7" s="2" t="inlineStr">
        <is>
          <t>p.7 代碼7950</t>
        </is>
      </c>
      <c r="F7" s="2" t="n"/>
      <c r="G7" s="2" t="inlineStr"/>
    </row>
    <row r="8">
      <c r="A8" s="2" t="inlineStr">
        <is>
          <t>本期淨利（合併）</t>
        </is>
      </c>
      <c r="B8" s="3" t="n">
        <v>4778188</v>
      </c>
      <c r="C8" s="3" t="n">
        <v>2491643</v>
      </c>
      <c r="D8" s="3" t="n">
        <v>6507485</v>
      </c>
      <c r="E8" s="2" t="inlineStr">
        <is>
          <t>p.7 代碼8200（114H1 含停業單位）</t>
        </is>
      </c>
      <c r="F8" s="2" t="n"/>
      <c r="G8" s="2" t="inlineStr"/>
    </row>
    <row r="9">
      <c r="A9" s="2" t="inlineStr">
        <is>
          <t>歸母淨利</t>
        </is>
      </c>
      <c r="B9" s="3" t="n">
        <v>4778004</v>
      </c>
      <c r="C9" s="3" t="n">
        <v>2491567</v>
      </c>
      <c r="D9" s="3" t="n">
        <v>6465472</v>
      </c>
      <c r="E9" s="2" t="inlineStr">
        <is>
          <t>p.7 代碼8610</t>
        </is>
      </c>
      <c r="F9" s="2" t="n"/>
      <c r="G9" s="2" t="inlineStr"/>
    </row>
    <row r="10">
      <c r="A10" s="2" t="inlineStr">
        <is>
          <t>合併淨利率 H</t>
        </is>
      </c>
      <c r="B10" s="4">
        <f>B8/B2</f>
        <v/>
      </c>
      <c r="C10" s="4">
        <f>C8/C2</f>
        <v/>
      </c>
      <c r="D10" s="4" t="inlineStr"/>
      <c r="E10" s="2" t="inlineStr">
        <is>
          <t>計算</t>
        </is>
      </c>
      <c r="F10" s="2" t="inlineStr">
        <is>
          <t>22.4%</t>
        </is>
      </c>
      <c r="G10" s="2" t="inlineStr">
        <is>
          <t>一致</t>
        </is>
      </c>
    </row>
    <row r="11">
      <c r="A11" s="2" t="inlineStr">
        <is>
          <t>W（歸母÷合併）</t>
        </is>
      </c>
      <c r="B11" s="4">
        <f>B9/B8</f>
        <v/>
      </c>
      <c r="C11" s="4">
        <f>C9/C8</f>
        <v/>
      </c>
      <c r="D11" s="4" t="inlineStr"/>
      <c r="E11" s="2" t="inlineStr">
        <is>
          <t>計算</t>
        </is>
      </c>
      <c r="F11" s="2" t="inlineStr">
        <is>
          <t>100%</t>
        </is>
      </c>
      <c r="G11" s="2" t="inlineStr">
        <is>
          <t>一致</t>
        </is>
      </c>
    </row>
    <row r="12">
      <c r="A12" s="2" t="inlineStr">
        <is>
          <t>匯兌利益</t>
        </is>
      </c>
      <c r="B12" s="3" t="n">
        <v>120298</v>
      </c>
      <c r="C12" s="3" t="n">
        <v>91006</v>
      </c>
      <c r="D12" s="3" t="n">
        <v>310962</v>
      </c>
      <c r="E12" s="2" t="inlineStr">
        <is>
          <t>p.44</t>
        </is>
      </c>
      <c r="F12" s="2" t="n"/>
      <c r="G12" s="2" t="inlineStr"/>
    </row>
    <row r="13">
      <c r="A13" s="2" t="inlineStr">
        <is>
          <t>處分 PP&amp;E 利益</t>
        </is>
      </c>
      <c r="B13" s="3" t="n">
        <v>200193</v>
      </c>
      <c r="C13" s="3" t="n">
        <v>116343</v>
      </c>
      <c r="D13" s="3" t="n">
        <v>300848</v>
      </c>
      <c r="E13" s="2" t="inlineStr">
        <is>
          <t>p.44</t>
        </is>
      </c>
      <c r="F13" s="2" t="n"/>
      <c r="G13" s="2" t="inlineStr"/>
    </row>
    <row r="14">
      <c r="A14" s="2" t="inlineStr">
        <is>
          <t>非經常性占稅前</t>
        </is>
      </c>
      <c r="B14" s="4">
        <f>(B12+B13)/B6</f>
        <v/>
      </c>
      <c r="C14" s="4">
        <f>(C12+C13)/C6</f>
        <v/>
      </c>
      <c r="D14" s="4" t="inlineStr"/>
      <c r="E14" s="2" t="inlineStr">
        <is>
          <t>計算；&lt;10% clean</t>
        </is>
      </c>
      <c r="F14" s="2" t="n"/>
      <c r="G14" s="2" t="inlineStr"/>
    </row>
    <row r="15">
      <c r="A15" s="2" t="inlineStr">
        <is>
          <t>折舊</t>
        </is>
      </c>
      <c r="B15" s="3" t="n">
        <v>5224056</v>
      </c>
      <c r="C15" s="3" t="n">
        <v>2739751</v>
      </c>
      <c r="D15" s="3" t="n">
        <v>3416484</v>
      </c>
      <c r="E15" s="2" t="inlineStr">
        <is>
          <t>p.9、p.42</t>
        </is>
      </c>
      <c r="F15" s="2" t="n"/>
      <c r="G15" s="2" t="inlineStr"/>
    </row>
    <row r="16">
      <c r="A16" s="2" t="inlineStr">
        <is>
          <t>取得 PP&amp;E（現金）</t>
        </is>
      </c>
      <c r="B16" s="3" t="n">
        <v>13883540</v>
      </c>
      <c r="C16" s="3" t="n"/>
      <c r="D16" s="3" t="n">
        <v>16267414</v>
      </c>
      <c r="E16" s="2" t="inlineStr">
        <is>
          <t>p.9 B02700</t>
        </is>
      </c>
      <c r="F16" s="2" t="n"/>
      <c r="G16" s="2" t="inlineStr"/>
    </row>
    <row r="17">
      <c r="A17" s="2" t="inlineStr">
        <is>
          <t>營業現金流</t>
        </is>
      </c>
      <c r="B17" s="3" t="n">
        <v>6373084</v>
      </c>
      <c r="C17" s="3" t="n"/>
      <c r="D17" s="3" t="n">
        <v>2646837</v>
      </c>
      <c r="E17" s="2" t="inlineStr">
        <is>
          <t>p.9 AAAA</t>
        </is>
      </c>
      <c r="F17" s="2" t="n"/>
      <c r="G17" s="2" t="inlineStr"/>
    </row>
    <row r="18">
      <c r="A18" s="2" t="inlineStr">
        <is>
          <t>普通股股本（6/30）</t>
        </is>
      </c>
      <c r="B18" s="3" t="n">
        <v>12227451</v>
      </c>
      <c r="C18" s="3" t="n"/>
      <c r="D18" s="3" t="n"/>
      <c r="E18" s="2" t="inlineStr">
        <is>
          <t>p.6、p.31</t>
        </is>
      </c>
      <c r="F18" s="2" t="n"/>
      <c r="G18" s="2" t="inlineStr"/>
    </row>
    <row r="19">
      <c r="A19" s="2" t="inlineStr">
        <is>
          <t>待分配股票股利（8/3 除權）</t>
        </is>
      </c>
      <c r="B19" s="3" t="n">
        <v>611373</v>
      </c>
      <c r="C19" s="3" t="n"/>
      <c r="D19" s="3" t="n"/>
      <c r="E19" s="2" t="inlineStr">
        <is>
          <t>p.6、p.32</t>
        </is>
      </c>
      <c r="F19" s="2" t="n"/>
      <c r="G19" s="2" t="inlineStr"/>
    </row>
    <row r="20">
      <c r="A20" s="2" t="inlineStr">
        <is>
          <t>除權後股本 I</t>
        </is>
      </c>
      <c r="B20" s="3">
        <f>B18+B19</f>
        <v/>
      </c>
      <c r="C20" s="3" t="n"/>
      <c r="D20" s="3" t="n"/>
      <c r="E20" s="2" t="inlineStr">
        <is>
          <t>計算</t>
        </is>
      </c>
      <c r="F20" s="2" t="n">
        <v>12838824</v>
      </c>
      <c r="G20" s="2" t="inlineStr">
        <is>
          <t>一致</t>
        </is>
      </c>
    </row>
    <row r="21">
      <c r="A21" s="2" t="inlineStr">
        <is>
          <t>2025 繼續營業單位淨利</t>
        </is>
      </c>
      <c r="B21" s="3" t="n">
        <v>8004710</v>
      </c>
      <c r="C21" s="3" t="n"/>
      <c r="D21" s="3" t="n"/>
      <c r="E21" s="2" t="inlineStr">
        <is>
          <t>2025 年報 p.104</t>
        </is>
      </c>
      <c r="F21" s="2" t="n"/>
      <c r="G21" s="2" t="inlineStr"/>
    </row>
    <row r="22">
      <c r="A22" s="2" t="inlineStr">
        <is>
          <t>J（追溯除權）</t>
        </is>
      </c>
      <c r="B22" s="5">
        <f>B21/(B20/10)</f>
        <v/>
      </c>
      <c r="C22" s="3" t="n"/>
      <c r="D22" s="3" t="n"/>
      <c r="E22" s="2" t="inlineStr">
        <is>
          <t>計算（元）</t>
        </is>
      </c>
      <c r="F22" s="2" t="inlineStr">
        <is>
          <t>6.5（未追溯）</t>
        </is>
      </c>
      <c r="G22" s="2" t="inlineStr">
        <is>
          <t>口徑差異：workbook 用除權前股數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6" customWidth="1" min="3" max="3"/>
  </cols>
  <sheetData>
    <row r="1">
      <c r="A1" s="6" t="inlineStr">
        <is>
          <t>參數</t>
        </is>
      </c>
      <c r="B1" s="6" t="inlineStr">
        <is>
          <t>值</t>
        </is>
      </c>
      <c r="C1" s="6" t="inlineStr">
        <is>
          <t>說明</t>
        </is>
      </c>
    </row>
    <row r="2">
      <c r="A2" t="inlineStr">
        <is>
          <t>E 1–8月營收（千元）</t>
        </is>
      </c>
      <c r="B2" s="7" t="n">
        <v>29404354</v>
      </c>
      <c r="C2" t="inlineStr">
        <is>
          <t>workbook／鉅亨網</t>
        </is>
      </c>
    </row>
    <row r="3">
      <c r="A3" t="inlineStr">
        <is>
          <t>n 月數</t>
        </is>
      </c>
      <c r="B3" s="7" t="n">
        <v>8</v>
      </c>
    </row>
    <row r="4">
      <c r="A4" t="inlineStr">
        <is>
          <t>H 合併淨利率</t>
        </is>
      </c>
      <c r="B4">
        <f>'財報複核'!B10</f>
        <v/>
      </c>
      <c r="C4" t="inlineStr">
        <is>
          <t>115H1</t>
        </is>
      </c>
    </row>
    <row r="5">
      <c r="A5" t="inlineStr">
        <is>
          <t>W</t>
        </is>
      </c>
      <c r="B5">
        <f>'財報複核'!B11</f>
        <v/>
      </c>
    </row>
    <row r="6">
      <c r="A6" t="inlineStr">
        <is>
          <t>I 股本（千元）</t>
        </is>
      </c>
      <c r="B6">
        <f>'財報複核'!B20</f>
        <v/>
      </c>
      <c r="C6" t="inlineStr">
        <is>
          <t>除權後</t>
        </is>
      </c>
    </row>
    <row r="7">
      <c r="A7" t="inlineStr">
        <is>
          <t>J 基期 EPS</t>
        </is>
      </c>
      <c r="B7" s="7" t="n">
        <v>6.23</v>
      </c>
      <c r="C7" t="inlineStr">
        <is>
          <t>主版；workbook 6.55</t>
        </is>
      </c>
    </row>
    <row r="8">
      <c r="A8" t="inlineStr">
        <is>
          <t>ETF PE（00891）</t>
        </is>
      </c>
      <c r="B8" s="7" t="n">
        <v>28</v>
      </c>
      <c r="C8" t="inlineStr">
        <is>
          <t>2026-09-11</t>
        </is>
      </c>
    </row>
    <row r="9">
      <c r="A9" t="inlineStr">
        <is>
          <t>ratio P</t>
        </is>
      </c>
      <c r="B9" s="7" t="n">
        <v>0.85</v>
      </c>
    </row>
    <row r="10">
      <c r="A10" t="inlineStr">
        <is>
          <t>ratio Q</t>
        </is>
      </c>
      <c r="B10" s="7" t="n">
        <v>0.62</v>
      </c>
    </row>
    <row r="11">
      <c r="A11" t="inlineStr">
        <is>
          <t>大盤 PE</t>
        </is>
      </c>
      <c r="B11" s="7" t="n">
        <v>31.26</v>
      </c>
      <c r="C11" t="inlineStr">
        <is>
          <t>2026-07-09 資料點</t>
        </is>
      </c>
    </row>
    <row r="12">
      <c r="A12" t="inlineStr">
        <is>
          <t>大盤 10 年中位 PE</t>
        </is>
      </c>
      <c r="B12" s="7" t="n">
        <v>17</v>
      </c>
    </row>
    <row r="13">
      <c r="A13" t="inlineStr">
        <is>
          <t>M 比值</t>
        </is>
      </c>
      <c r="B13">
        <f>B11/B12</f>
        <v/>
      </c>
    </row>
    <row r="14">
      <c r="A14" t="inlineStr">
        <is>
          <t>M_adj</t>
        </is>
      </c>
      <c r="B14">
        <f>IF(B13&gt;1.3,0.85,IF(B13&lt;0.8,1.15,1))</f>
        <v/>
      </c>
    </row>
    <row r="15">
      <c r="A15" t="inlineStr">
        <is>
          <t>base P</t>
        </is>
      </c>
      <c r="B15">
        <f>B8*B9*B14</f>
        <v/>
      </c>
    </row>
    <row r="16">
      <c r="A16" t="inlineStr">
        <is>
          <t>base Q</t>
        </is>
      </c>
      <c r="B16">
        <f>B8*B10*B14</f>
        <v/>
      </c>
    </row>
    <row r="17">
      <c r="A17" t="inlineStr">
        <is>
          <t>年化營收（千元）</t>
        </is>
      </c>
      <c r="B17">
        <f>B2*12/B3</f>
        <v/>
      </c>
    </row>
    <row r="18">
      <c r="A18" t="inlineStr">
        <is>
          <t>預期 EPS</t>
        </is>
      </c>
      <c r="B18">
        <f>B17*B4*B5/(B6/10)</f>
        <v/>
      </c>
    </row>
    <row r="19">
      <c r="A19" t="inlineStr">
        <is>
          <t>EPS 成長率</t>
        </is>
      </c>
      <c r="B19">
        <f>B18/B7-1</f>
        <v/>
      </c>
    </row>
    <row r="20">
      <c r="A20" t="inlineStr">
        <is>
          <t>PE_P</t>
        </is>
      </c>
      <c r="B20">
        <f>B15+SQRT(B19*100)</f>
        <v/>
      </c>
      <c r="C20" t="inlineStr">
        <is>
          <t>plugin：base P + √(g×100)</t>
        </is>
      </c>
    </row>
    <row r="21">
      <c r="A21" t="inlineStr">
        <is>
          <t>PE_Q</t>
        </is>
      </c>
      <c r="B21">
        <f>B16+(B19*100)^(2/3)</f>
        <v/>
      </c>
      <c r="C21" t="inlineStr">
        <is>
          <t>plugin：base Q + (g×100)^(2/3)</t>
        </is>
      </c>
    </row>
    <row r="22">
      <c r="A22" t="inlineStr">
        <is>
          <t>股價 P</t>
        </is>
      </c>
      <c r="B22">
        <f>B18*B20</f>
        <v/>
      </c>
    </row>
    <row r="23">
      <c r="A23" t="inlineStr">
        <is>
          <t>股價 Q</t>
        </is>
      </c>
      <c r="B23">
        <f>B18*B21</f>
        <v/>
      </c>
    </row>
    <row r="24">
      <c r="A24" t="inlineStr">
        <is>
          <t>模型價</t>
        </is>
      </c>
      <c r="B24">
        <f>AVERAGE(B22:B23)</f>
        <v/>
      </c>
    </row>
    <row r="25">
      <c r="A25" t="inlineStr">
        <is>
          <t>收盤價（10/2）</t>
        </is>
      </c>
      <c r="B25" s="7" t="n">
        <v>295.5</v>
      </c>
      <c r="C25" t="inlineStr">
        <is>
          <t>Bigdata.com</t>
        </is>
      </c>
    </row>
    <row r="26">
      <c r="A26" t="inlineStr">
        <is>
          <t>較現價</t>
        </is>
      </c>
      <c r="B26">
        <f>B24/B25-1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公司</t>
        </is>
      </c>
      <c r="B1" s="1" t="inlineStr">
        <is>
          <t>類型</t>
        </is>
      </c>
      <c r="C1" s="1" t="inlineStr">
        <is>
          <t>股價</t>
        </is>
      </c>
      <c r="D1" s="1" t="inlineStr">
        <is>
          <t>TTM P/E</t>
        </is>
      </c>
      <c r="E1" s="1" t="inlineStr">
        <is>
          <t>P/B</t>
        </is>
      </c>
      <c r="F1" s="1" t="inlineStr">
        <is>
          <t>最新季毛利率</t>
        </is>
      </c>
      <c r="G1" s="1" t="inlineStr">
        <is>
          <t>資料日</t>
        </is>
      </c>
    </row>
    <row r="2">
      <c r="A2" s="2" t="inlineStr">
        <is>
          <t>京元電 2449</t>
        </is>
      </c>
      <c r="B2" s="2" t="inlineStr">
        <is>
          <t>純測試</t>
        </is>
      </c>
      <c r="C2" s="2" t="n">
        <v>295.5</v>
      </c>
      <c r="D2" s="2" t="n">
        <v>40.7</v>
      </c>
      <c r="E2" s="2" t="n">
        <v>6.05</v>
      </c>
      <c r="F2" s="2" t="n">
        <v>0.395</v>
      </c>
      <c r="G2" s="2" t="inlineStr">
        <is>
          <t>2026-10-02</t>
        </is>
      </c>
    </row>
    <row r="3">
      <c r="A3" s="2" t="inlineStr">
        <is>
          <t>矽格 6257</t>
        </is>
      </c>
      <c r="B3" s="2" t="inlineStr">
        <is>
          <t>測試為主</t>
        </is>
      </c>
      <c r="C3" s="2" t="n">
        <v>256.5</v>
      </c>
      <c r="D3" s="2" t="n">
        <v>30.07</v>
      </c>
      <c r="E3" s="2" t="n">
        <v>4.86</v>
      </c>
      <c r="F3" s="2" t="n">
        <v>0.342</v>
      </c>
      <c r="G3" s="2" t="inlineStr">
        <is>
          <t>2026-10-01</t>
        </is>
      </c>
    </row>
    <row r="4">
      <c r="A4" s="2" t="inlineStr">
        <is>
          <t>欣銓 3264</t>
        </is>
      </c>
      <c r="B4" s="2" t="inlineStr">
        <is>
          <t>純測試</t>
        </is>
      </c>
      <c r="C4" s="2" t="n">
        <v>245.5</v>
      </c>
      <c r="D4" s="2" t="n">
        <v>30.96</v>
      </c>
      <c r="E4" s="2" t="n">
        <v>5.93</v>
      </c>
      <c r="F4" s="2" t="n">
        <v>0.402</v>
      </c>
      <c r="G4" s="2" t="inlineStr">
        <is>
          <t>2026-10-01</t>
        </is>
      </c>
    </row>
    <row r="5">
      <c r="A5" s="2" t="inlineStr">
        <is>
          <t>日月光 3711</t>
        </is>
      </c>
      <c r="B5" s="2" t="inlineStr">
        <is>
          <t>封測一體（參考）</t>
        </is>
      </c>
      <c r="C5" s="2" t="n">
        <v>710</v>
      </c>
      <c r="D5" s="2" t="n">
        <v>51.04</v>
      </c>
      <c r="E5" s="2" t="n">
        <v>8.01</v>
      </c>
      <c r="F5" s="2" t="n">
        <v>0.21</v>
      </c>
      <c r="G5" s="2" t="inlineStr">
        <is>
          <t>2026-10-01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30" customWidth="1" min="3" max="3"/>
  </cols>
  <sheetData>
    <row r="1">
      <c r="A1" s="1" t="inlineStr">
        <is>
          <t>來源</t>
        </is>
      </c>
      <c r="B1" s="1" t="inlineStr">
        <is>
          <t>位置</t>
        </is>
      </c>
      <c r="C1" s="1" t="inlineStr">
        <is>
          <t>用途</t>
        </is>
      </c>
    </row>
    <row r="2">
      <c r="A2" s="2" t="inlineStr">
        <is>
          <t>115Q2 合併財報 202602_2449_AI1</t>
        </is>
      </c>
      <c r="B2" s="2" t="inlineStr">
        <is>
          <t>Drive 1MfgQA5DHe6ukGI5dckwqlRIsM2bLCX9q</t>
        </is>
      </c>
      <c r="C2" s="2" t="inlineStr">
        <is>
          <t>H、W、I、非經常性、現金流</t>
        </is>
      </c>
    </row>
    <row r="3">
      <c r="A3" s="2" t="inlineStr">
        <is>
          <t>2025 年報 F04</t>
        </is>
      </c>
      <c r="B3" s="2" t="inlineStr">
        <is>
          <t>Drive 1MWwj0K_ZsK88NP4c1EpgnophgkvWyx5_</t>
        </is>
      </c>
      <c r="C3" s="2" t="inlineStr">
        <is>
          <t>營收結構、客戶、繼續營業淨利</t>
        </is>
      </c>
    </row>
    <row r="4">
      <c r="A4" s="2" t="inlineStr">
        <is>
          <t>投資組合_2026_09_11_updated.xlsx</t>
        </is>
      </c>
      <c r="B4" s="2" t="inlineStr">
        <is>
          <t>Drive 1uBaGGruNJj16206k7Blp8hfyFkOzN3i4</t>
        </is>
      </c>
      <c r="C4" s="2" t="inlineStr">
        <is>
          <t>E、錨定</t>
        </is>
      </c>
    </row>
    <row r="5">
      <c r="A5" s="2" t="inlineStr">
        <is>
          <t>Bigdata.com</t>
        </is>
      </c>
      <c r="B5" s="2" t="inlineStr">
        <is>
          <t>https://bigdata.com</t>
        </is>
      </c>
      <c r="C5" s="2" t="inlineStr">
        <is>
          <t>股價、同業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2026-10-02T11:10:59Z</dcterms:created>
  <dcterms:modified xmlns:dcterms="http://purl.org/dc/terms/" xmlns:xsi="http://www.w3.org/2001/XMLSchema-instance" xsi:type="dcterms:W3CDTF">2026-10-02T11:11:13Z</dcterms:modified>
</cp:coreProperties>
</file>