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比較" sheetId="1" state="visible" r:id="rId1"/>
    <sheet xmlns:r="http://schemas.openxmlformats.org/officeDocument/2006/relationships" name="同業比較" sheetId="2" state="visible" r:id="rId2"/>
    <sheet xmlns:r="http://schemas.openxmlformats.org/officeDocument/2006/relationships" name="Kevin模型" sheetId="3" state="visible" r:id="rId3"/>
    <sheet xmlns:r="http://schemas.openxmlformats.org/officeDocument/2006/relationships" name="季度財務" sheetId="4" state="visible" r:id="rId4"/>
    <sheet xmlns:r="http://schemas.openxmlformats.org/officeDocument/2006/relationships" name="來源與缺口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0.000"/>
    <numFmt numFmtId="166" formatCode="0.0"/>
    <numFmt numFmtId="167" formatCode="0.0%"/>
    <numFmt numFmtId="168" formatCode="+0.0;-0.0"/>
  </numFmts>
  <fonts count="8">
    <font>
      <name val="Calibri"/>
      <family val="2"/>
      <color theme="1"/>
      <sz val="11"/>
      <scheme val="minor"/>
    </font>
    <font>
      <name val="Microsoft JhengHei"/>
      <b val="1"/>
      <sz val="13"/>
    </font>
    <font>
      <name val="Microsoft JhengHei"/>
      <color rgb="00C00000"/>
    </font>
    <font>
      <name val="Microsoft JhengHei"/>
      <b val="1"/>
      <color rgb="00FFFFFF"/>
    </font>
    <font>
      <name val="Microsoft JhengHei"/>
    </font>
    <font>
      <name val="Microsoft JhengHei"/>
      <color rgb="000000CC"/>
    </font>
    <font>
      <name val="Microsoft JhengHei"/>
      <b val="1"/>
    </font>
    <font>
      <name val="Microsoft JhengHei"/>
      <i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2" fontId="4" fillId="3" borderId="1" pivotButton="0" quotePrefix="0" xfId="0"/>
    <xf numFmtId="0" fontId="7" fillId="0" borderId="0" pivotButton="0" quotePrefix="0" xfId="0"/>
    <xf numFmtId="0" fontId="2" fillId="0" borderId="0" pivotButton="0" quotePrefix="0" xfId="0"/>
    <xf numFmtId="1" fontId="5" fillId="0" borderId="1" pivotButton="0" quotePrefix="0" xfId="0"/>
    <xf numFmtId="165" fontId="5" fillId="0" borderId="1" pivotButton="0" quotePrefix="0" xfId="0"/>
    <xf numFmtId="2" fontId="5" fillId="0" borderId="1" pivotButton="0" quotePrefix="0" xfId="0"/>
    <xf numFmtId="166" fontId="5" fillId="0" borderId="1" pivotButton="0" quotePrefix="0" xfId="0"/>
    <xf numFmtId="10" fontId="5" fillId="0" borderId="1" pivotButton="0" quotePrefix="0" xfId="0"/>
    <xf numFmtId="0" fontId="6" fillId="0" borderId="0" pivotButton="0" quotePrefix="0" xfId="0"/>
    <xf numFmtId="2" fontId="4" fillId="0" borderId="1" pivotButton="0" quotePrefix="0" xfId="0"/>
    <xf numFmtId="167" fontId="4" fillId="0" borderId="1" pivotButton="0" quotePrefix="0" xfId="0"/>
    <xf numFmtId="10" fontId="4" fillId="0" borderId="1" pivotButton="0" quotePrefix="0" xfId="0"/>
    <xf numFmtId="3" fontId="4" fillId="3" borderId="1" pivotButton="0" quotePrefix="0" xfId="0"/>
    <xf numFmtId="164" fontId="4" fillId="3" borderId="1" pivotButton="0" quotePrefix="0" xfId="0"/>
    <xf numFmtId="166" fontId="4" fillId="0" borderId="1" pivotButton="0" quotePrefix="0" xfId="0"/>
    <xf numFmtId="164" fontId="4" fillId="0" borderId="1" pivotButton="0" quotePrefix="0" xfId="0"/>
    <xf numFmtId="4" fontId="5" fillId="0" borderId="1" pivotButton="0" quotePrefix="0" xfId="0"/>
    <xf numFmtId="166" fontId="4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4" fontId="5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8" fontId="0" fillId="0" borderId="1" pivotButton="0" quotePrefix="0" xfId="0"/>
    <xf numFmtId="0" fontId="0" fillId="0" borderId="1" pivotButton="0" quotePrefix="0" xfId="0"/>
    <xf numFmtId="165" fontId="5" fillId="0" borderId="1" pivotButton="0" quotePrefix="0" xfId="0"/>
    <xf numFmtId="167" fontId="4" fillId="0" borderId="1" pivotButton="0" quotePrefix="0" xfId="0"/>
    <xf numFmtId="164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48" customWidth="1" min="4" max="4"/>
  </cols>
  <sheetData>
    <row r="1">
      <c r="A1" s="1" t="inlineStr">
        <is>
          <t>智邦（2345）估值總覽　現價 NT$1,900（2026-10-01 收盤）</t>
        </is>
      </c>
    </row>
    <row r="3">
      <c r="A3" s="2" t="inlineStr">
        <is>
          <t>方法</t>
        </is>
      </c>
      <c r="B3" s="2" t="inlineStr">
        <is>
          <t>價值 (NT$)</t>
        </is>
      </c>
      <c r="C3" s="2" t="inlineStr">
        <is>
          <t>對現價</t>
        </is>
      </c>
      <c r="D3" s="2" t="inlineStr">
        <is>
          <t>備註</t>
        </is>
      </c>
    </row>
    <row r="4">
      <c r="A4" s="3" t="inlineStr">
        <is>
          <t>Kevin 情境 A（主）</t>
        </is>
      </c>
      <c r="B4" s="4">
        <f>Kevin模型!B43</f>
        <v/>
      </c>
      <c r="C4" s="23">
        <f>B4/Kevin模型!B22-1</f>
        <v/>
      </c>
      <c r="D4" s="3" t="inlineStr">
        <is>
          <t>1–8月×12/8、H1 帳面淨利率 11.70%</t>
        </is>
      </c>
    </row>
    <row r="5">
      <c r="A5" s="3" t="inlineStr">
        <is>
          <t>Kevin 情境 B</t>
        </is>
      </c>
      <c r="B5" s="4">
        <f>Kevin模型!C43</f>
        <v/>
      </c>
      <c r="C5" s="23">
        <f>B5/Kevin模型!B22-1</f>
        <v/>
      </c>
      <c r="D5" s="3" t="inlineStr">
        <is>
          <t>近兩月均 401.7 億 × 剩餘 4 個月、Q2 淨利率 11.56%</t>
        </is>
      </c>
    </row>
    <row r="6">
      <c r="A6" s="3" t="inlineStr">
        <is>
          <t>雙法 PE band Low</t>
        </is>
      </c>
      <c r="B6" s="4">
        <f>Kevin模型!B47</f>
        <v/>
      </c>
      <c r="C6" s="23">
        <f>B6/Kevin模型!B22-1</f>
        <v/>
      </c>
      <c r="D6" s="3" t="inlineStr">
        <is>
          <t>Q×0.8</t>
        </is>
      </c>
    </row>
    <row r="7">
      <c r="A7" s="3" t="inlineStr">
        <is>
          <t>雙法 PE band Mid</t>
        </is>
      </c>
      <c r="B7" s="4">
        <f>Kevin模型!B48</f>
        <v/>
      </c>
      <c r="C7" s="23">
        <f>B7/Kevin模型!B22-1</f>
        <v/>
      </c>
      <c r="D7" s="3" t="inlineStr">
        <is>
          <t>(P+Q)/2</t>
        </is>
      </c>
    </row>
    <row r="8">
      <c r="A8" s="3" t="inlineStr">
        <is>
          <t>雙法 PE band High</t>
        </is>
      </c>
      <c r="B8" s="4">
        <f>Kevin模型!B49</f>
        <v/>
      </c>
      <c r="C8" s="23">
        <f>B8/Kevin模型!B22-1</f>
        <v/>
      </c>
      <c r="D8" s="3" t="inlineStr">
        <is>
          <t>P×1.2</t>
        </is>
      </c>
    </row>
    <row r="9">
      <c r="A9" s="3" t="inlineStr">
        <is>
          <t>Bear case 下行目標</t>
        </is>
      </c>
      <c r="B9" s="6" t="n">
        <v>1500</v>
      </c>
      <c r="C9" s="23">
        <f>B9/Kevin模型!B22-1</f>
        <v/>
      </c>
      <c r="D9" s="3" t="inlineStr">
        <is>
          <t>EPS 76.9 × 19.5x</t>
        </is>
      </c>
    </row>
    <row r="10">
      <c r="A10" s="3" t="inlineStr">
        <is>
          <t>FactSet 共識目標價（參考）</t>
        </is>
      </c>
      <c r="B10" s="6" t="n">
        <v>3500</v>
      </c>
      <c r="C10" s="23">
        <f>B10/Kevin模型!B22-1</f>
        <v/>
      </c>
      <c r="D10" s="3" t="inlineStr">
        <is>
          <t>外部觀點，非本模型</t>
        </is>
      </c>
    </row>
    <row r="12">
      <c r="A12" s="7" t="inlineStr">
        <is>
          <t>PEG（情境 A）</t>
        </is>
      </c>
      <c r="B12" s="8">
        <f>Kevin模型!B46</f>
        <v/>
      </c>
      <c r="D12" s="3" t="inlineStr">
        <is>
          <t>&lt;1 🟢 偏便宜</t>
        </is>
      </c>
    </row>
    <row r="14">
      <c r="A14" s="9" t="inlineStr">
        <is>
          <t>本估算為 Kevin 個人模型試算，非投資建議。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6" customWidth="1" min="4" max="4"/>
    <col width="10" customWidth="1" min="5" max="5"/>
    <col width="13" customWidth="1" min="6" max="6"/>
    <col width="9" customWidth="1" min="7" max="7"/>
    <col width="8" customWidth="1" min="8" max="8"/>
    <col width="7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同業比較（2026-10-01；TTM=2025Q3–2026Q2；比率為 2026H1）</t>
        </is>
      </c>
    </row>
    <row r="3">
      <c r="A3" s="2" t="inlineStr">
        <is>
          <t>公司</t>
        </is>
      </c>
      <c r="B3" s="2" t="inlineStr">
        <is>
          <t>代號</t>
        </is>
      </c>
      <c r="C3" s="2" t="inlineStr">
        <is>
          <t>可比類型</t>
        </is>
      </c>
      <c r="D3" s="2" t="inlineStr">
        <is>
          <t>幣別</t>
        </is>
      </c>
      <c r="E3" s="2" t="inlineStr">
        <is>
          <t>收盤價</t>
        </is>
      </c>
      <c r="F3" s="2" t="inlineStr">
        <is>
          <t>市值(億，原幣)</t>
        </is>
      </c>
      <c r="G3" s="2" t="inlineStr">
        <is>
          <t>TTM EPS</t>
        </is>
      </c>
      <c r="H3" s="2" t="inlineStr">
        <is>
          <t>PE TTM</t>
        </is>
      </c>
      <c r="I3" s="2" t="inlineStr">
        <is>
          <t>PB</t>
        </is>
      </c>
      <c r="J3" s="2" t="inlineStr">
        <is>
          <t>毛利率</t>
        </is>
      </c>
      <c r="K3" s="2" t="inlineStr">
        <is>
          <t>淨利率</t>
        </is>
      </c>
      <c r="L3" s="2" t="inlineStr">
        <is>
          <t>H1營收YoY</t>
        </is>
      </c>
      <c r="M3" s="2" t="inlineStr">
        <is>
          <t>8月營收YoY</t>
        </is>
      </c>
      <c r="N3" s="2" t="inlineStr">
        <is>
          <t>1–8月YoY</t>
        </is>
      </c>
      <c r="O3" s="2" t="inlineStr">
        <is>
          <t>Q2 EPS YoY</t>
        </is>
      </c>
    </row>
    <row r="4">
      <c r="A4" s="3" t="inlineStr">
        <is>
          <t>智邦</t>
        </is>
      </c>
      <c r="B4" s="3" t="inlineStr">
        <is>
          <t>TWSE:2345</t>
        </is>
      </c>
      <c r="C4" s="3" t="inlineStr">
        <is>
          <t>目標</t>
        </is>
      </c>
      <c r="D4" s="3" t="inlineStr">
        <is>
          <t>TWD</t>
        </is>
      </c>
      <c r="E4" s="24" t="n">
        <v>1900</v>
      </c>
      <c r="F4" s="6" t="n">
        <v>10619.252</v>
      </c>
      <c r="G4" s="13" t="n">
        <v>63.65</v>
      </c>
      <c r="H4" s="25">
        <f>E4/G4</f>
        <v/>
      </c>
      <c r="I4" s="26" t="n">
        <v>15.35456010158373</v>
      </c>
      <c r="J4" s="27" t="n">
        <v>0.1963200737820257</v>
      </c>
      <c r="K4" s="27" t="n">
        <v>0.1169833478268205</v>
      </c>
      <c r="L4" s="28" t="n">
        <v>0.6028812303772271</v>
      </c>
      <c r="M4" s="28" t="n">
        <v>0.594</v>
      </c>
      <c r="N4" s="28" t="n">
        <v>0.619</v>
      </c>
      <c r="O4" s="28" t="n">
        <v>1.195338512763596</v>
      </c>
    </row>
    <row r="5">
      <c r="A5" s="3" t="inlineStr">
        <is>
          <t>Celestica</t>
        </is>
      </c>
      <c r="B5" s="3" t="inlineStr">
        <is>
          <t>NYSE:CLS</t>
        </is>
      </c>
      <c r="C5" s="3" t="inlineStr">
        <is>
          <t>完全可比</t>
        </is>
      </c>
      <c r="D5" s="3" t="inlineStr">
        <is>
          <t>USD</t>
        </is>
      </c>
      <c r="E5" s="24" t="n">
        <v>372.25</v>
      </c>
      <c r="F5" s="6" t="n">
        <v>428.020495</v>
      </c>
      <c r="G5" s="13" t="n">
        <v>9.719999999999999</v>
      </c>
      <c r="H5" s="25">
        <f>E5/G5</f>
        <v/>
      </c>
      <c r="I5" s="26" t="n">
        <v>17.26437731892241</v>
      </c>
      <c r="J5" s="27" t="n">
        <v>0.1160240578119283</v>
      </c>
      <c r="K5" s="27" t="n">
        <v>0.06644484083424808</v>
      </c>
      <c r="L5" s="28" t="n">
        <v>0.5780584626488632</v>
      </c>
      <c r="M5" s="28" t="inlineStr">
        <is>
          <t>N/A</t>
        </is>
      </c>
      <c r="N5" s="28" t="inlineStr">
        <is>
          <t>N/A</t>
        </is>
      </c>
      <c r="O5" s="28" t="n">
        <v>0.7540983606557377</v>
      </c>
    </row>
    <row r="6">
      <c r="A6" s="3" t="inlineStr">
        <is>
          <t>Arista Networks</t>
        </is>
      </c>
      <c r="B6" s="3" t="inlineStr">
        <is>
          <t>NYSE:ANET</t>
        </is>
      </c>
      <c r="C6" s="3" t="inlineStr">
        <is>
          <t>替代可比</t>
        </is>
      </c>
      <c r="D6" s="3" t="inlineStr">
        <is>
          <t>USD</t>
        </is>
      </c>
      <c r="E6" s="24" t="n">
        <v>204.385</v>
      </c>
      <c r="F6" s="6" t="n">
        <v>2573.55345586</v>
      </c>
      <c r="G6" s="13" t="n">
        <v>3.21</v>
      </c>
      <c r="H6" s="25">
        <f>E6/G6</f>
        <v/>
      </c>
      <c r="I6" s="26" t="n">
        <v>17.38785598437595</v>
      </c>
      <c r="J6" s="27" t="n">
        <v>0.6244190297143454</v>
      </c>
      <c r="K6" s="27" t="n">
        <v>0.3891935175030898</v>
      </c>
      <c r="L6" s="28" t="n">
        <v>0.3646664766248575</v>
      </c>
      <c r="M6" s="28" t="inlineStr">
        <is>
          <t>N/A</t>
        </is>
      </c>
      <c r="N6" s="28" t="inlineStr">
        <is>
          <t>N/A</t>
        </is>
      </c>
      <c r="O6" s="28" t="n">
        <v>0.352112676056338</v>
      </c>
    </row>
    <row r="7">
      <c r="A7" s="3" t="inlineStr">
        <is>
          <t>啟碁</t>
        </is>
      </c>
      <c r="B7" s="3" t="inlineStr">
        <is>
          <t>TWSE:6285</t>
        </is>
      </c>
      <c r="C7" s="3" t="inlineStr">
        <is>
          <t>相鄰可比</t>
        </is>
      </c>
      <c r="D7" s="3" t="inlineStr">
        <is>
          <t>TWD</t>
        </is>
      </c>
      <c r="E7" s="24" t="n">
        <v>235.5</v>
      </c>
      <c r="F7" s="6" t="n">
        <v>1139.02805825</v>
      </c>
      <c r="G7" s="13" t="n">
        <v>9.200000000000001</v>
      </c>
      <c r="H7" s="25">
        <f>E7/G7</f>
        <v/>
      </c>
      <c r="I7" s="26" t="n">
        <v>3.160171387908038</v>
      </c>
      <c r="J7" s="27" t="n">
        <v>0.1295670101205102</v>
      </c>
      <c r="K7" s="27" t="n">
        <v>0.04026044841196885</v>
      </c>
      <c r="L7" s="28" t="n">
        <v>0.2280255126229542</v>
      </c>
      <c r="M7" s="28" t="n">
        <v>0.8121</v>
      </c>
      <c r="N7" s="28" t="n">
        <v>0.3783</v>
      </c>
      <c r="O7" s="28" t="n">
        <v>2.29126213592233</v>
      </c>
    </row>
    <row r="8">
      <c r="A8" s="16" t="inlineStr">
        <is>
          <t>同業中位數</t>
        </is>
      </c>
      <c r="H8" s="29">
        <f>MEDIAN(H5:H7)</f>
        <v/>
      </c>
      <c r="I8" s="29">
        <f>MEDIAN(I5:I7)</f>
        <v/>
      </c>
      <c r="J8" s="30">
        <f>MEDIAN(J5:J7)</f>
        <v/>
      </c>
      <c r="K8" s="30">
        <f>MEDIAN(K5:K7)</f>
        <v/>
      </c>
      <c r="L8" s="31">
        <f>MEDIAN(L5:L7)</f>
        <v/>
      </c>
      <c r="O8" s="31">
        <f>MEDIAN(O5:O7)</f>
        <v/>
      </c>
    </row>
    <row r="9">
      <c r="A9" s="16" t="inlineStr">
        <is>
          <t>同業平均</t>
        </is>
      </c>
      <c r="H9" s="29">
        <f>AVERAGE(H5:H7)</f>
        <v/>
      </c>
      <c r="I9" s="29">
        <f>AVERAGE(I5:I7)</f>
        <v/>
      </c>
      <c r="J9" s="30">
        <f>AVERAGE(J5:J7)</f>
        <v/>
      </c>
      <c r="K9" s="30">
        <f>AVERAGE(K5:K7)</f>
        <v/>
      </c>
      <c r="L9" s="31">
        <f>AVERAGE(L5:L7)</f>
        <v/>
      </c>
      <c r="O9" s="31">
        <f>AVERAGE(O5:O7)</f>
        <v/>
      </c>
    </row>
    <row r="11">
      <c r="A11" s="16" t="inlineStr">
        <is>
          <t>RelPE_TTM</t>
        </is>
      </c>
      <c r="B11" s="32">
        <f>H4/H8</f>
        <v/>
      </c>
      <c r="C11" t="inlineStr">
        <is>
          <t>&lt;0.85 偏低；0.85–1.15 合理；&gt;1.15 偏高</t>
        </is>
      </c>
    </row>
    <row r="12">
      <c r="A12" s="16" t="inlineStr">
        <is>
          <t>RelPE_FWD</t>
        </is>
      </c>
      <c r="B12" s="32">
        <f>Kevin模型!B22/Kevin模型!B37/H8</f>
        <v/>
      </c>
      <c r="C12" t="inlineStr">
        <is>
          <t>現價÷模型EPS ÷ 同業TTM中位</t>
        </is>
      </c>
    </row>
    <row r="13">
      <c r="A13" s="16" t="inlineStr">
        <is>
          <t>RelGM (pp)</t>
        </is>
      </c>
      <c r="B13" s="33">
        <f>(J4-J8)*100</f>
        <v/>
      </c>
      <c r="C13" t="inlineStr">
        <is>
          <t>正值通常對應較高 PE</t>
        </is>
      </c>
    </row>
    <row r="14">
      <c r="A14" s="16" t="inlineStr">
        <is>
          <t>Rel_RevGrowth (pp)</t>
        </is>
      </c>
      <c r="B14" s="33">
        <f>(L4-L8)*100</f>
        <v/>
      </c>
      <c r="C14" t="inlineStr">
        <is>
          <t>H1 營收 YoY 差</t>
        </is>
      </c>
    </row>
    <row r="15">
      <c r="A15" s="16" t="inlineStr">
        <is>
          <t>綜合判斷</t>
        </is>
      </c>
      <c r="B15" s="34">
        <f>IF(AND(B11&lt;0.85,B13&gt;=0,B14&gt;=0),"相對偏低估",IF(AND(B11&gt;1.15,B13&lt;=0,B14&lt;=0),"相對偏高估","相對合理"))</f>
        <v/>
      </c>
    </row>
    <row r="17">
      <c r="A17" t="inlineStr">
        <is>
          <t>來源：Bigdata.com company tearsheet（FMP，2026-10-01）；台股月營收：鉅亨網。美股無月營收標 N/A；營收成長統一用 2026H1 YoY。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52" customWidth="1" min="4" max="4"/>
  </cols>
  <sheetData>
    <row r="1">
      <c r="A1" s="1" t="inlineStr">
        <is>
          <t>智邦（2345）Kevin 雙層錨定模型　資料日 2026-10-01（藍字可改）</t>
        </is>
      </c>
    </row>
    <row r="2">
      <c r="A2" s="10" t="inlineStr">
        <is>
          <t>⚠ provisional：MOPS/TWSE 被環境網路封鎖；財報取自 Kevin workbook 季報調節頁與 Bigdata.com(FMP)，月營收取自新聞彙整</t>
        </is>
      </c>
    </row>
    <row r="4">
      <c r="A4" s="2" t="inlineStr">
        <is>
          <t>項目</t>
        </is>
      </c>
      <c r="B4" s="2" t="inlineStr">
        <is>
          <t>數值</t>
        </is>
      </c>
      <c r="C4" s="2" t="inlineStr">
        <is>
          <t>單位</t>
        </is>
      </c>
      <c r="D4" s="2" t="inlineStr">
        <is>
          <t>資料來源</t>
        </is>
      </c>
    </row>
    <row r="5">
      <c r="A5" s="3" t="inlineStr">
        <is>
          <t>1–n月累計營收 E</t>
        </is>
      </c>
      <c r="B5" s="6" t="n">
        <v>246003583</v>
      </c>
      <c r="C5" s="3" t="inlineStr">
        <is>
          <t>千元</t>
        </is>
      </c>
      <c r="D5" s="3" t="inlineStr">
        <is>
          <t>workbook CPO概念頁 1-8月營收；新聞 2,460.04億</t>
        </is>
      </c>
    </row>
    <row r="6">
      <c r="A6" s="3" t="inlineStr">
        <is>
          <t>累計月數 n</t>
        </is>
      </c>
      <c r="B6" s="11" t="n">
        <v>8</v>
      </c>
      <c r="C6" s="3" t="inlineStr">
        <is>
          <t>月</t>
        </is>
      </c>
      <c r="D6" s="3" t="inlineStr">
        <is>
          <t>1–8月</t>
        </is>
      </c>
    </row>
    <row r="7">
      <c r="A7" s="3" t="inlineStr">
        <is>
          <t>H1 營收</t>
        </is>
      </c>
      <c r="B7" s="6" t="n">
        <v>165658435</v>
      </c>
      <c r="C7" s="3" t="inlineStr">
        <is>
          <t>千元</t>
        </is>
      </c>
      <c r="D7" s="3" t="inlineStr">
        <is>
          <t>workbook 季報調節（2026H1）</t>
        </is>
      </c>
    </row>
    <row r="8">
      <c r="A8" s="3" t="inlineStr">
        <is>
          <t>H1 稅前淨利</t>
        </is>
      </c>
      <c r="B8" s="6" t="n">
        <v>24930070</v>
      </c>
      <c r="C8" s="3" t="inlineStr">
        <is>
          <t>千元</t>
        </is>
      </c>
      <c r="D8" s="3" t="inlineStr">
        <is>
          <t>plugin 測試案例/MOPS 2026H1</t>
        </is>
      </c>
    </row>
    <row r="9">
      <c r="A9" s="3" t="inlineStr">
        <is>
          <t>H1 所得稅</t>
        </is>
      </c>
      <c r="B9" s="6" t="n">
        <v>5549864</v>
      </c>
      <c r="C9" s="3" t="inlineStr">
        <is>
          <t>千元</t>
        </is>
      </c>
      <c r="D9" s="3" t="inlineStr">
        <is>
          <t>同上</t>
        </is>
      </c>
    </row>
    <row r="10">
      <c r="A10" s="3" t="inlineStr">
        <is>
          <t>H1 本期淨利（合併）</t>
        </is>
      </c>
      <c r="B10" s="6" t="n">
        <v>19380206</v>
      </c>
      <c r="C10" s="3" t="inlineStr">
        <is>
          <t>千元</t>
        </is>
      </c>
      <c r="D10" s="3" t="inlineStr">
        <is>
          <t>同上（稅前−所得稅）</t>
        </is>
      </c>
    </row>
    <row r="11">
      <c r="A11" s="3" t="inlineStr">
        <is>
          <t>非經常性：匯兌</t>
        </is>
      </c>
      <c r="B11" s="6" t="n">
        <v>132793</v>
      </c>
      <c r="C11" s="3" t="inlineStr">
        <is>
          <t>千元</t>
        </is>
      </c>
      <c r="D11" s="3" t="inlineStr">
        <is>
          <t>同上</t>
        </is>
      </c>
    </row>
    <row r="12">
      <c r="A12" s="3" t="inlineStr">
        <is>
          <t>非經常性：股票評價</t>
        </is>
      </c>
      <c r="B12" s="6" t="n">
        <v>5829</v>
      </c>
      <c r="C12" s="3" t="inlineStr">
        <is>
          <t>千元</t>
        </is>
      </c>
      <c r="D12" s="3" t="inlineStr">
        <is>
          <t>同上</t>
        </is>
      </c>
    </row>
    <row r="13">
      <c r="A13" s="3" t="inlineStr">
        <is>
          <t>業主淨利占比 W</t>
        </is>
      </c>
      <c r="B13" s="35" t="n">
        <v>1</v>
      </c>
      <c r="C13" s="3" t="inlineStr">
        <is>
          <t>倍</t>
        </is>
      </c>
      <c r="D13" s="3" t="inlineStr">
        <is>
          <t>workbook（歸母÷合併≈100%）</t>
        </is>
      </c>
    </row>
    <row r="14">
      <c r="A14" s="3" t="inlineStr">
        <is>
          <t>股本</t>
        </is>
      </c>
      <c r="B14" s="6" t="n">
        <v>5611179</v>
      </c>
      <c r="C14" s="3" t="inlineStr">
        <is>
          <t>千元</t>
        </is>
      </c>
      <c r="D14" s="3" t="inlineStr">
        <is>
          <t>資產負債表普通股股本</t>
        </is>
      </c>
    </row>
    <row r="15">
      <c r="A15" s="3" t="inlineStr">
        <is>
          <t>面額</t>
        </is>
      </c>
      <c r="B15" s="11" t="n">
        <v>10</v>
      </c>
      <c r="C15" s="3" t="inlineStr">
        <is>
          <t>元</t>
        </is>
      </c>
      <c r="D15" s="3" t="inlineStr"/>
    </row>
    <row r="16">
      <c r="A16" s="3" t="inlineStr">
        <is>
          <t>2025 EPS J</t>
        </is>
      </c>
      <c r="B16" s="13" t="n">
        <v>47.13</v>
      </c>
      <c r="C16" s="3" t="inlineStr">
        <is>
          <t>元</t>
        </is>
      </c>
      <c r="D16" s="3" t="inlineStr">
        <is>
          <t>2025 年報（四季 9.17+9.01+14.00+14.95）</t>
        </is>
      </c>
    </row>
    <row r="17">
      <c r="A17" s="3" t="inlineStr">
        <is>
          <t>ETF PE（00891）</t>
        </is>
      </c>
      <c r="B17" s="26" t="n">
        <v>28</v>
      </c>
      <c r="C17" s="3" t="inlineStr">
        <is>
          <t>倍</t>
        </is>
      </c>
      <c r="D17" s="3" t="inlineStr">
        <is>
          <t>workbook Anchor設定 2026/09/11</t>
        </is>
      </c>
    </row>
    <row r="18">
      <c r="A18" s="3" t="inlineStr">
        <is>
          <t>ratio_P</t>
        </is>
      </c>
      <c r="B18" s="13" t="n">
        <v>0.85</v>
      </c>
      <c r="C18" s="3" t="inlineStr"/>
      <c r="D18" s="3" t="inlineStr">
        <is>
          <t>CPO 類</t>
        </is>
      </c>
    </row>
    <row r="19">
      <c r="A19" s="3" t="inlineStr">
        <is>
          <t>ratio_Q</t>
        </is>
      </c>
      <c r="B19" s="13" t="n">
        <v>0.62</v>
      </c>
      <c r="C19" s="3" t="inlineStr"/>
      <c r="D19" s="3" t="inlineStr">
        <is>
          <t>CPO 類</t>
        </is>
      </c>
    </row>
    <row r="20">
      <c r="A20" s="3" t="inlineStr">
        <is>
          <t>大盤 PE</t>
        </is>
      </c>
      <c r="B20" s="13" t="n">
        <v>31.26</v>
      </c>
      <c r="C20" s="3" t="inlineStr">
        <is>
          <t>倍</t>
        </is>
      </c>
      <c r="D20" s="3" t="inlineStr">
        <is>
          <t>workbook（7/09 水位）</t>
        </is>
      </c>
    </row>
    <row r="21">
      <c r="A21" s="3" t="inlineStr">
        <is>
          <t>大盤 10 年中位 PE</t>
        </is>
      </c>
      <c r="B21" s="13" t="n">
        <v>17</v>
      </c>
      <c r="C21" s="3" t="inlineStr">
        <is>
          <t>倍</t>
        </is>
      </c>
      <c r="D21" s="3" t="inlineStr">
        <is>
          <t>workbook 粗估</t>
        </is>
      </c>
    </row>
    <row r="22">
      <c r="A22" s="3" t="inlineStr">
        <is>
          <t>目前股價 M</t>
        </is>
      </c>
      <c r="B22" s="6" t="n">
        <v>1900</v>
      </c>
      <c r="C22" s="3" t="inlineStr">
        <is>
          <t>元</t>
        </is>
      </c>
      <c r="D22" s="3" t="inlineStr">
        <is>
          <t>2026-10-01 收盤（Bigdata.com/FMP）</t>
        </is>
      </c>
    </row>
    <row r="23">
      <c r="A23" s="3" t="inlineStr">
        <is>
          <t>7月營收</t>
        </is>
      </c>
      <c r="B23" s="6" t="n">
        <v>39472565</v>
      </c>
      <c r="C23" s="3" t="inlineStr">
        <is>
          <t>千元</t>
        </is>
      </c>
      <c r="D23" s="3" t="inlineStr">
        <is>
          <t>1–7月累計 − H1（新聞 394.73億）</t>
        </is>
      </c>
    </row>
    <row r="24">
      <c r="A24" s="3" t="inlineStr">
        <is>
          <t>8月營收</t>
        </is>
      </c>
      <c r="B24" s="6" t="n">
        <v>40872583</v>
      </c>
      <c r="C24" s="3" t="inlineStr">
        <is>
          <t>千元</t>
        </is>
      </c>
      <c r="D24" s="3" t="inlineStr">
        <is>
          <t>1–8月 − 1–7月（新聞 408.73億）</t>
        </is>
      </c>
    </row>
    <row r="25">
      <c r="A25" s="3" t="inlineStr">
        <is>
          <t>Q2 合併淨利率（情境B）</t>
        </is>
      </c>
      <c r="B25" s="15" t="n">
        <v>0.115621</v>
      </c>
      <c r="C25" s="3" t="inlineStr"/>
      <c r="D25" s="3" t="inlineStr">
        <is>
          <t>2026Q2 淨利 110.47億 ÷ 營收 955.46億</t>
        </is>
      </c>
    </row>
    <row r="26">
      <c r="A26" s="3" t="inlineStr">
        <is>
          <t>目標價溢價</t>
        </is>
      </c>
      <c r="B26" s="13" t="n">
        <v>1</v>
      </c>
      <c r="C26" s="3" t="inlineStr">
        <is>
          <t>倍</t>
        </is>
      </c>
      <c r="D26" s="3" t="inlineStr">
        <is>
          <t>預設 1（只乘目標價）</t>
        </is>
      </c>
    </row>
    <row r="28">
      <c r="A28" s="16" t="inlineStr">
        <is>
          <t>計算</t>
        </is>
      </c>
    </row>
    <row r="29">
      <c r="A29" s="2" t="inlineStr">
        <is>
          <t>項目</t>
        </is>
      </c>
      <c r="B29" s="2" t="inlineStr">
        <is>
          <t>情境 A（累計年化）</t>
        </is>
      </c>
      <c r="C29" s="2" t="inlineStr">
        <is>
          <t>情境 B（近月動能）</t>
        </is>
      </c>
      <c r="D29" s="2" t="inlineStr">
        <is>
          <t>公式</t>
        </is>
      </c>
    </row>
    <row r="30">
      <c r="A30" s="3" t="inlineStr">
        <is>
          <t>M 比值</t>
        </is>
      </c>
      <c r="B30" s="17">
        <f>B20/B21</f>
        <v/>
      </c>
      <c r="C30" s="17">
        <f>B20/B21</f>
        <v/>
      </c>
      <c r="D30" s="3" t="inlineStr">
        <is>
          <t>大盤PE÷10年中位</t>
        </is>
      </c>
    </row>
    <row r="31">
      <c r="A31" s="3" t="inlineStr">
        <is>
          <t>M_adj</t>
        </is>
      </c>
      <c r="B31" s="17">
        <f>IF(B30&gt;1.3,0.85,IF(B30&lt;0.8,1.15,1))</f>
        <v/>
      </c>
      <c r="C31" s="17">
        <f>IF(C30&gt;1.3,0.85,IF(C30&lt;0.8,1.15,1))</f>
        <v/>
      </c>
      <c r="D31" s="3" t="inlineStr">
        <is>
          <t>M&gt;1.3→0.85</t>
        </is>
      </c>
    </row>
    <row r="32">
      <c r="A32" s="3" t="inlineStr">
        <is>
          <t>base_P</t>
        </is>
      </c>
      <c r="B32" s="17">
        <f>B17*B18*B31</f>
        <v/>
      </c>
      <c r="C32" s="17">
        <f>B17*B18*C31</f>
        <v/>
      </c>
      <c r="D32" s="3" t="inlineStr">
        <is>
          <t>ETF PE×ratio_P×M_adj</t>
        </is>
      </c>
    </row>
    <row r="33">
      <c r="A33" s="3" t="inlineStr">
        <is>
          <t>base_Q</t>
        </is>
      </c>
      <c r="B33" s="17">
        <f>B17*B19*B31</f>
        <v/>
      </c>
      <c r="C33" s="17">
        <f>B17*B19*C31</f>
        <v/>
      </c>
      <c r="D33" s="3" t="inlineStr">
        <is>
          <t>ETF PE×ratio_Q×M_adj</t>
        </is>
      </c>
    </row>
    <row r="34">
      <c r="A34" s="3" t="inlineStr">
        <is>
          <t>非經常性占稅前</t>
        </is>
      </c>
      <c r="B34" s="36">
        <f>ABS(B11+B12)/B8</f>
        <v/>
      </c>
      <c r="C34" s="36">
        <f>ABS(B11+B12)/B8</f>
        <v/>
      </c>
      <c r="D34" s="3" t="inlineStr">
        <is>
          <t>&lt;5% 乾淨</t>
        </is>
      </c>
    </row>
    <row r="35">
      <c r="A35" s="3" t="inlineStr">
        <is>
          <t>淨利率 H（合併）</t>
        </is>
      </c>
      <c r="B35" s="19">
        <f>B10/B7</f>
        <v/>
      </c>
      <c r="C35" s="19">
        <f>B25</f>
        <v/>
      </c>
      <c r="D35" s="3" t="inlineStr">
        <is>
          <t>A：H1 帳面；B：Q2</t>
        </is>
      </c>
    </row>
    <row r="36">
      <c r="A36" s="3" t="inlineStr">
        <is>
          <t>年化營收</t>
        </is>
      </c>
      <c r="B36" s="4">
        <f>B5*12/B6</f>
        <v/>
      </c>
      <c r="C36" s="4">
        <f>B5+(B23+B24)/2*(12-B6)</f>
        <v/>
      </c>
      <c r="D36" s="3" t="inlineStr">
        <is>
          <t>千元</t>
        </is>
      </c>
    </row>
    <row r="37">
      <c r="A37" s="7" t="inlineStr">
        <is>
          <t>預期 EPS N</t>
        </is>
      </c>
      <c r="B37" s="8">
        <f>B36*B35*B13/B14*B15</f>
        <v/>
      </c>
      <c r="C37" s="8">
        <f>C36*C35*B13/B14*B15</f>
        <v/>
      </c>
      <c r="D37" s="3" t="inlineStr">
        <is>
          <t>年化營收×H×W÷股本×面額</t>
        </is>
      </c>
    </row>
    <row r="38">
      <c r="A38" s="3" t="inlineStr">
        <is>
          <t>EPS 成長率 O</t>
        </is>
      </c>
      <c r="B38" s="36">
        <f>B37/B16-1</f>
        <v/>
      </c>
      <c r="C38" s="36">
        <f>C37/B16-1</f>
        <v/>
      </c>
      <c r="D38" s="3" t="inlineStr">
        <is>
          <t>N÷J−1</t>
        </is>
      </c>
    </row>
    <row r="39">
      <c r="A39" s="3" t="inlineStr">
        <is>
          <t>PE_P</t>
        </is>
      </c>
      <c r="B39" s="17">
        <f>B32+SQRT(MAX(B38,0)*100)</f>
        <v/>
      </c>
      <c r="C39" s="17">
        <f>C32+SQRT(MAX(C38,0)*100)</f>
        <v/>
      </c>
      <c r="D39" s="3" t="inlineStr">
        <is>
          <t>base_P+√(O×100)</t>
        </is>
      </c>
    </row>
    <row r="40">
      <c r="A40" s="3" t="inlineStr">
        <is>
          <t>PE_Q</t>
        </is>
      </c>
      <c r="B40" s="17">
        <f>B33+(MAX(B38,0)*100)^(2/3)</f>
        <v/>
      </c>
      <c r="C40" s="17">
        <f>C33+(MAX(C38,0)*100)^(2/3)</f>
        <v/>
      </c>
      <c r="D40" s="3" t="inlineStr">
        <is>
          <t>base_Q+(O×100)^(2/3)</t>
        </is>
      </c>
    </row>
    <row r="41">
      <c r="A41" s="3" t="inlineStr">
        <is>
          <t>股價 A</t>
        </is>
      </c>
      <c r="B41" s="4">
        <f>B37*B39</f>
        <v/>
      </c>
      <c r="C41" s="4">
        <f>C37*C39</f>
        <v/>
      </c>
      <c r="D41" s="3" t="inlineStr">
        <is>
          <t>N×PE_P</t>
        </is>
      </c>
    </row>
    <row r="42">
      <c r="A42" s="3" t="inlineStr">
        <is>
          <t>股價 B</t>
        </is>
      </c>
      <c r="B42" s="4">
        <f>B37*B40</f>
        <v/>
      </c>
      <c r="C42" s="4">
        <f>C37*C40</f>
        <v/>
      </c>
      <c r="D42" s="3" t="inlineStr">
        <is>
          <t>N×PE_Q</t>
        </is>
      </c>
    </row>
    <row r="43">
      <c r="A43" s="7" t="inlineStr">
        <is>
          <t>目標價 T</t>
        </is>
      </c>
      <c r="B43" s="20">
        <f>(B41+B42)/2*B26</f>
        <v/>
      </c>
      <c r="C43" s="20">
        <f>(C41+C42)/2*B26</f>
        <v/>
      </c>
      <c r="D43" s="3" t="inlineStr">
        <is>
          <t>(股價A+股價B)÷2×溢價</t>
        </is>
      </c>
    </row>
    <row r="44">
      <c r="A44" s="7" t="inlineStr">
        <is>
          <t>漲幅空間</t>
        </is>
      </c>
      <c r="B44" s="37">
        <f>B43/B22-1</f>
        <v/>
      </c>
      <c r="C44" s="37">
        <f>C43/B22-1</f>
        <v/>
      </c>
      <c r="D44" s="3" t="inlineStr">
        <is>
          <t>T÷M−1</t>
        </is>
      </c>
    </row>
    <row r="45">
      <c r="A45" s="3" t="inlineStr">
        <is>
          <t>目前本益比 M/N</t>
        </is>
      </c>
      <c r="B45" s="25">
        <f>B22/B37</f>
        <v/>
      </c>
      <c r="C45" s="25">
        <f>B22/C37</f>
        <v/>
      </c>
      <c r="D45" s="3" t="inlineStr"/>
    </row>
    <row r="46">
      <c r="A46" s="3" t="inlineStr">
        <is>
          <t>PEG</t>
        </is>
      </c>
      <c r="B46" s="17">
        <f>B45/(B38*100)</f>
        <v/>
      </c>
      <c r="C46" s="17">
        <f>C45/(C38*100)</f>
        <v/>
      </c>
      <c r="D46" s="3" t="inlineStr">
        <is>
          <t>Fwd PE÷(O×100)；&lt;1 偏便宜</t>
        </is>
      </c>
    </row>
    <row r="47">
      <c r="A47" s="3" t="inlineStr">
        <is>
          <t>PE band Low（Q×0.8）</t>
        </is>
      </c>
      <c r="B47" s="4">
        <f>B37*B40*0.8</f>
        <v/>
      </c>
      <c r="C47" s="4">
        <f>C37*C40*0.8</f>
        <v/>
      </c>
      <c r="D47" s="3" t="inlineStr">
        <is>
          <t>雙法 Method B</t>
        </is>
      </c>
    </row>
    <row r="48">
      <c r="A48" s="3" t="inlineStr">
        <is>
          <t>PE band Mid（(P+Q)/2）</t>
        </is>
      </c>
      <c r="B48" s="4">
        <f>B37*(B39+B40)/2</f>
        <v/>
      </c>
      <c r="C48" s="4">
        <f>C37*(C39+C40)/2</f>
        <v/>
      </c>
      <c r="D48" s="3" t="inlineStr"/>
    </row>
    <row r="49">
      <c r="A49" s="3" t="inlineStr">
        <is>
          <t>PE band High（P×1.2）</t>
        </is>
      </c>
      <c r="B49" s="4">
        <f>B37*B39*1.2</f>
        <v/>
      </c>
      <c r="C49" s="4">
        <f>C37*C39*1.2</f>
        <v/>
      </c>
      <c r="D49" s="3" t="inlineStr"/>
    </row>
    <row r="51">
      <c r="A51" s="16" t="inlineStr">
        <is>
          <t>類別敏感度（情境 A）</t>
        </is>
      </c>
    </row>
    <row r="52">
      <c r="A52" s="2" t="inlineStr">
        <is>
          <t>類別（錨定 ETF）</t>
        </is>
      </c>
      <c r="B52" s="2" t="inlineStr">
        <is>
          <t>base_P</t>
        </is>
      </c>
      <c r="C52" s="2" t="inlineStr">
        <is>
          <t>base_Q</t>
        </is>
      </c>
      <c r="D52" s="2" t="inlineStr">
        <is>
          <t>目標價 T</t>
        </is>
      </c>
    </row>
    <row r="53">
      <c r="A53" s="3" t="inlineStr">
        <is>
          <t>投資組合（0050 PE 22）</t>
        </is>
      </c>
      <c r="B53" s="17">
        <f>22*0.75*B31</f>
        <v/>
      </c>
      <c r="C53" s="17">
        <f>22*0.55*B31</f>
        <v/>
      </c>
      <c r="D53" s="4">
        <f>B37*((B53+SQRT(B38*100))+(C53+(B38*100)^(2/3)))/2</f>
        <v/>
      </c>
    </row>
    <row r="54">
      <c r="A54" s="3" t="inlineStr">
        <is>
          <t>CPO（00891 PE 28）</t>
        </is>
      </c>
      <c r="B54" s="17">
        <f>28*0.85*B31</f>
        <v/>
      </c>
      <c r="C54" s="17">
        <f>28*0.62*B31</f>
        <v/>
      </c>
      <c r="D54" s="4">
        <f>B37*((B54+SQRT(B38*100))+(C54+(B38*100)^(2/3)))/2</f>
        <v/>
      </c>
    </row>
    <row r="55">
      <c r="A55" s="3" t="inlineStr">
        <is>
          <t>潛力股（00935 PE 33）</t>
        </is>
      </c>
      <c r="B55" s="17">
        <f>33*0.85*B31</f>
        <v/>
      </c>
      <c r="C55" s="17">
        <f>33*0.62*B31</f>
        <v/>
      </c>
      <c r="D55" s="4">
        <f>B37*((B55+SQRT(B38*100))+(C55+(B38*100)^(2/3)))/2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9" customWidth="1" min="4" max="4"/>
    <col width="13" customWidth="1" min="5" max="5"/>
    <col width="9" customWidth="1" min="6" max="6"/>
    <col width="12" customWidth="1" min="7" max="7"/>
    <col width="11" customWidth="1" min="8" max="8"/>
    <col width="13" customWidth="1" min="9" max="9"/>
    <col width="8" customWidth="1" min="10" max="10"/>
    <col width="12" customWidth="1" min="11" max="11"/>
    <col width="14" customWidth="1" min="12" max="12"/>
  </cols>
  <sheetData>
    <row r="1">
      <c r="A1" s="2" t="inlineStr">
        <is>
          <t>季度</t>
        </is>
      </c>
      <c r="B1" s="2" t="inlineStr">
        <is>
          <t>營收(百萬)</t>
        </is>
      </c>
      <c r="C1" s="2" t="inlineStr">
        <is>
          <t>毛利(百萬)</t>
        </is>
      </c>
      <c r="D1" s="2" t="inlineStr">
        <is>
          <t>毛利率</t>
        </is>
      </c>
      <c r="E1" s="2" t="inlineStr">
        <is>
          <t>營業利益(百萬)</t>
        </is>
      </c>
      <c r="F1" s="2" t="inlineStr">
        <is>
          <t>營益率</t>
        </is>
      </c>
      <c r="G1" s="2" t="inlineStr">
        <is>
          <t>稅前(百萬)</t>
        </is>
      </c>
      <c r="H1" s="2" t="inlineStr">
        <is>
          <t>業外占稅前</t>
        </is>
      </c>
      <c r="I1" s="2" t="inlineStr">
        <is>
          <t>歸母淨利(百萬)</t>
        </is>
      </c>
      <c r="J1" s="2" t="inlineStr">
        <is>
          <t>EPS</t>
        </is>
      </c>
      <c r="K1" s="2" t="inlineStr">
        <is>
          <t>存貨(百萬)</t>
        </is>
      </c>
      <c r="L1" s="2" t="inlineStr">
        <is>
          <t>營業現金流(百萬)</t>
        </is>
      </c>
    </row>
    <row r="2">
      <c r="A2" s="3" t="inlineStr">
        <is>
          <t>2024Q3</t>
        </is>
      </c>
      <c r="B2" s="6" t="n">
        <v>28192.739</v>
      </c>
      <c r="C2" s="6" t="n">
        <v>5608.73</v>
      </c>
      <c r="D2" s="36">
        <f>C2/B2</f>
        <v/>
      </c>
      <c r="E2" s="6" t="n">
        <v>3463.45</v>
      </c>
      <c r="F2" s="36">
        <f>E2/B2</f>
        <v/>
      </c>
      <c r="G2" s="6" t="n">
        <v>3308.727</v>
      </c>
      <c r="H2" s="23">
        <f>(G2-E2)/G2</f>
        <v/>
      </c>
      <c r="I2" s="6" t="n">
        <v>2650.075</v>
      </c>
      <c r="J2" s="13" t="n">
        <v>4.75</v>
      </c>
      <c r="K2" s="6" t="n">
        <v>17807.319</v>
      </c>
      <c r="L2" s="6" t="n">
        <v>4995.68</v>
      </c>
    </row>
    <row r="3">
      <c r="A3" s="3" t="inlineStr">
        <is>
          <t>2024Q4</t>
        </is>
      </c>
      <c r="B3" s="6" t="n">
        <v>38971.903</v>
      </c>
      <c r="C3" s="6" t="n">
        <v>8064.689</v>
      </c>
      <c r="D3" s="36">
        <f>C3/B3</f>
        <v/>
      </c>
      <c r="E3" s="6" t="n">
        <v>5182.431</v>
      </c>
      <c r="F3" s="36">
        <f>E3/B3</f>
        <v/>
      </c>
      <c r="G3" s="6" t="n">
        <v>5659.005</v>
      </c>
      <c r="H3" s="23">
        <f>(G3-E3)/G3</f>
        <v/>
      </c>
      <c r="I3" s="6" t="n">
        <v>4524.904</v>
      </c>
      <c r="J3" s="13" t="n">
        <v>8.1</v>
      </c>
      <c r="K3" s="6" t="n">
        <v>19370.957</v>
      </c>
      <c r="L3" s="6" t="n">
        <v>3282.63</v>
      </c>
    </row>
    <row r="4">
      <c r="A4" s="3" t="inlineStr">
        <is>
          <t>2025Q1</t>
        </is>
      </c>
      <c r="B4" s="6" t="n">
        <v>42750.561</v>
      </c>
      <c r="C4" s="6" t="n">
        <v>8647.449000000001</v>
      </c>
      <c r="D4" s="36">
        <f>C4/B4</f>
        <v/>
      </c>
      <c r="E4" s="6" t="n">
        <v>5947.219</v>
      </c>
      <c r="F4" s="36">
        <f>E4/B4</f>
        <v/>
      </c>
      <c r="G4" s="6" t="n">
        <v>6281.874</v>
      </c>
      <c r="H4" s="23">
        <f>(G4-E4)/G4</f>
        <v/>
      </c>
      <c r="I4" s="6" t="n">
        <v>5127.365</v>
      </c>
      <c r="J4" s="13" t="n">
        <v>9.17</v>
      </c>
      <c r="K4" s="6" t="n">
        <v>23945.208</v>
      </c>
      <c r="L4" s="6" t="n">
        <v>4077.598</v>
      </c>
    </row>
    <row r="5">
      <c r="A5" s="3" t="inlineStr">
        <is>
          <t>2025Q2</t>
        </is>
      </c>
      <c r="B5" s="6" t="n">
        <v>60604.798</v>
      </c>
      <c r="C5" s="6" t="n">
        <v>10863.942</v>
      </c>
      <c r="D5" s="36">
        <f>C5/B5</f>
        <v/>
      </c>
      <c r="E5" s="6" t="n">
        <v>8125.282</v>
      </c>
      <c r="F5" s="36">
        <f>E5/B5</f>
        <v/>
      </c>
      <c r="G5" s="6" t="n">
        <v>6613.117</v>
      </c>
      <c r="H5" s="23">
        <f>(G5-E5)/G5</f>
        <v/>
      </c>
      <c r="I5" s="6" t="n">
        <v>5031.753</v>
      </c>
      <c r="J5" s="13" t="n">
        <v>9.01</v>
      </c>
      <c r="K5" s="6" t="n">
        <v>26197.713</v>
      </c>
      <c r="L5" s="6" t="n">
        <v>2230.849</v>
      </c>
    </row>
    <row r="6">
      <c r="A6" s="3" t="inlineStr">
        <is>
          <t>2025Q3</t>
        </is>
      </c>
      <c r="B6" s="6" t="n">
        <v>72946.56299999999</v>
      </c>
      <c r="C6" s="6" t="n">
        <v>12315.464</v>
      </c>
      <c r="D6" s="36">
        <f>C6/B6</f>
        <v/>
      </c>
      <c r="E6" s="6" t="n">
        <v>9000.709999999999</v>
      </c>
      <c r="F6" s="36">
        <f>E6/B6</f>
        <v/>
      </c>
      <c r="G6" s="6" t="n">
        <v>9707.726000000001</v>
      </c>
      <c r="H6" s="23">
        <f>(G6-E6)/G6</f>
        <v/>
      </c>
      <c r="I6" s="6" t="n">
        <v>7826.6</v>
      </c>
      <c r="J6" s="13" t="n">
        <v>14</v>
      </c>
      <c r="K6" s="6" t="n">
        <v>31886.348</v>
      </c>
      <c r="L6" s="6" t="n">
        <v>18714.525</v>
      </c>
    </row>
    <row r="7">
      <c r="A7" s="3" t="inlineStr">
        <is>
          <t>2025Q4</t>
        </is>
      </c>
      <c r="B7" s="6" t="n">
        <v>72070.726</v>
      </c>
      <c r="C7" s="6" t="n">
        <v>12909.713</v>
      </c>
      <c r="D7" s="36">
        <f>C7/B7</f>
        <v/>
      </c>
      <c r="E7" s="6" t="n">
        <v>9165.174999999999</v>
      </c>
      <c r="F7" s="36">
        <f>E7/B7</f>
        <v/>
      </c>
      <c r="G7" s="6" t="n">
        <v>10314.141</v>
      </c>
      <c r="H7" s="23">
        <f>(G7-E7)/G7</f>
        <v/>
      </c>
      <c r="I7" s="6" t="n">
        <v>8347.911</v>
      </c>
      <c r="J7" s="13" t="n">
        <v>14.95</v>
      </c>
      <c r="K7" s="6" t="n">
        <v>30201.828</v>
      </c>
      <c r="L7" s="6" t="n">
        <v>10088.526</v>
      </c>
    </row>
    <row r="8">
      <c r="A8" s="3" t="inlineStr">
        <is>
          <t>2026Q1</t>
        </is>
      </c>
      <c r="B8" s="6" t="n">
        <v>70120.74099999999</v>
      </c>
      <c r="C8" s="6" t="n">
        <v>13700.875</v>
      </c>
      <c r="D8" s="36">
        <f>C8/B8</f>
        <v/>
      </c>
      <c r="E8" s="6" t="n">
        <v>10048.687</v>
      </c>
      <c r="F8" s="36">
        <f>E8/B8</f>
        <v/>
      </c>
      <c r="G8" s="6" t="n">
        <v>10361.703</v>
      </c>
      <c r="H8" s="23">
        <f>(G8-E8)/G8</f>
        <v/>
      </c>
      <c r="I8" s="6" t="n">
        <v>8333.109</v>
      </c>
      <c r="J8" s="13" t="n">
        <v>14.92</v>
      </c>
      <c r="K8" s="6" t="n">
        <v>50479.738</v>
      </c>
      <c r="L8" s="6" t="n">
        <v>-3388.226</v>
      </c>
    </row>
    <row r="9">
      <c r="A9" s="3" t="inlineStr">
        <is>
          <t>2026Q2</t>
        </is>
      </c>
      <c r="B9" s="6" t="n">
        <v>95545.624</v>
      </c>
      <c r="C9" s="6" t="n">
        <v>18822.758</v>
      </c>
      <c r="D9" s="36">
        <f>C9/B9</f>
        <v/>
      </c>
      <c r="E9" s="6" t="n">
        <v>14331.32</v>
      </c>
      <c r="F9" s="36">
        <f>E9/B9</f>
        <v/>
      </c>
      <c r="G9" s="6" t="n">
        <v>14568.367</v>
      </c>
      <c r="H9" s="23">
        <f>(G9-E9)/G9</f>
        <v/>
      </c>
      <c r="I9" s="6" t="n">
        <v>11047.097</v>
      </c>
      <c r="J9" s="13" t="n">
        <v>19.78</v>
      </c>
      <c r="K9" s="6" t="n">
        <v>76972.916</v>
      </c>
      <c r="L9" s="6" t="n">
        <v>-11532.764</v>
      </c>
    </row>
    <row r="11">
      <c r="A11" t="inlineStr">
        <is>
          <t>來源：Bigdata.com company tearsheet（provider FMP），2026-10-01 取用；未經 MOPS 原檔逐項核對。2025Q2 業外為負（台幣急升匯損），2025 全年業外占稅前約 +2%，故基期 EPS 不調整。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2" t="inlineStr">
        <is>
          <t>類型</t>
        </is>
      </c>
      <c r="B1" s="2" t="inlineStr">
        <is>
          <t>內容</t>
        </is>
      </c>
    </row>
    <row r="2">
      <c r="A2" s="3" t="inlineStr">
        <is>
          <t>來源</t>
        </is>
      </c>
      <c r="B2" s="3" t="inlineStr">
        <is>
          <t>Bigdata.com 公司 tearsheet（FMP）</t>
        </is>
      </c>
    </row>
    <row r="3">
      <c r="A3" s="3" t="inlineStr">
        <is>
          <t>來源</t>
        </is>
      </c>
      <c r="B3" s="3" t="inlineStr">
        <is>
          <t>Kevin workbook 投資組合_2026_09_11_updated.xlsx（Google Drive）</t>
        </is>
      </c>
    </row>
    <row r="4">
      <c r="A4" s="3" t="inlineStr">
        <is>
          <t>來源</t>
        </is>
      </c>
      <c r="B4" s="3" t="inlineStr">
        <is>
          <t>鉅亨網/經濟日報 7–8月營收新聞</t>
        </is>
      </c>
    </row>
    <row r="5">
      <c r="A5" s="3" t="inlineStr">
        <is>
          <t>來源</t>
        </is>
      </c>
      <c r="B5" s="3" t="inlineStr">
        <is>
          <t>FactSet 共識（永豐金/鉅亨轉載）</t>
        </is>
      </c>
    </row>
    <row r="6">
      <c r="A6" s="3" t="inlineStr">
        <is>
          <t>來源</t>
        </is>
      </c>
      <c r="B6" s="3" t="inlineStr">
        <is>
          <t>工商時報（凱基、外資報告）</t>
        </is>
      </c>
    </row>
    <row r="7">
      <c r="A7" s="3" t="inlineStr">
        <is>
          <t>來源</t>
        </is>
      </c>
      <c r="B7" s="3" t="inlineStr">
        <is>
          <t>Celestica FY2025 10-K</t>
        </is>
      </c>
    </row>
    <row r="8">
      <c r="A8" s="3" t="inlineStr">
        <is>
          <t>缺口</t>
        </is>
      </c>
      <c r="B8" s="3" t="inlineStr">
        <is>
          <t>官方身分查核（MOPS 公司基本資料）</t>
        </is>
      </c>
    </row>
    <row r="9">
      <c r="A9" s="3" t="inlineStr">
        <is>
          <t>缺口</t>
        </is>
      </c>
      <c r="B9" s="3" t="inlineStr">
        <is>
          <t>MOPS 2026Q2 財報原檔逐項核對（已用 workbook 季報調節頁與 FMP 交叉）</t>
        </is>
      </c>
    </row>
    <row r="10">
      <c r="A10" s="3" t="inlineStr">
        <is>
          <t>缺口</t>
        </is>
      </c>
      <c r="B10" s="3" t="inlineStr">
        <is>
          <t>9月營收（10/10 前公告）</t>
        </is>
      </c>
    </row>
    <row r="11">
      <c r="A11" s="3" t="inlineStr">
        <is>
          <t>缺口</t>
        </is>
      </c>
      <c r="B11" s="3" t="inlineStr">
        <is>
          <t>Q2 法說會逐字稿/簡報（Bigdata 未收錄）</t>
        </is>
      </c>
    </row>
    <row r="12">
      <c r="A12" s="3" t="inlineStr">
        <is>
          <t>缺口</t>
        </is>
      </c>
      <c r="B12" s="3" t="inlineStr">
        <is>
          <t>同業估值數字</t>
        </is>
      </c>
    </row>
    <row r="13">
      <c r="A13" s="3" t="inlineStr">
        <is>
          <t>缺口</t>
        </is>
      </c>
      <c r="B13" s="3" t="inlineStr">
        <is>
          <t>大盤 PE 最新值（workbook 取 7/09 水位）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2026-10-01T16:22:15Z</dcterms:created>
  <dcterms:modified xmlns:dcterms="http://purl.org/dc/terms/" xmlns:xsi="http://www.w3.org/2001/XMLSchema-instance" xsi:type="dcterms:W3CDTF">2026-10-01T16:28:48Z</dcterms:modified>
</cp:coreProperties>
</file>